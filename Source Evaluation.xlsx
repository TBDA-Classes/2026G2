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nv-my.sharepoint.com/personal/alexander_kupelian_dnv_com/Documents/Private/University/TBDA/Sprint 1 - Node B - Task B2/"/>
    </mc:Choice>
  </mc:AlternateContent>
  <xr:revisionPtr revIDLastSave="1" documentId="11_A5072F07C7F25A36A5F6350E9B3E06F7671C8A1E" xr6:coauthVersionLast="47" xr6:coauthVersionMax="47" xr10:uidLastSave="{51727165-70B9-4B36-9C70-AB271049586A}"/>
  <bookViews>
    <workbookView xWindow="10" yWindow="10" windowWidth="19180" windowHeight="10060" tabRatio="500" xr2:uid="{00000000-000D-0000-FFFF-FFFF00000000}"/>
  </bookViews>
  <sheets>
    <sheet name="Madrid Climate 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1" i="1" l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<sst xmlns="http://schemas.openxmlformats.org/spreadsheetml/2006/main" count="54" uniqueCount="54">
  <si>
    <t>Madrid Weather &amp; Climate Data Sources — Comparison</t>
  </si>
  <si>
    <t>Source</t>
  </si>
  <si>
    <t>Website</t>
  </si>
  <si>
    <t>Accessibility (1–5)</t>
  </si>
  <si>
    <t>Quality (1–5)</t>
  </si>
  <si>
    <t>Data Breadth (1–5)</t>
  </si>
  <si>
    <t>Total Score (max 15)</t>
  </si>
  <si>
    <t>Available Parameters</t>
  </si>
  <si>
    <t>Time Frame</t>
  </si>
  <si>
    <t>Best For</t>
  </si>
  <si>
    <t>AEMET OpenData</t>
  </si>
  <si>
    <t>opendata.aemet.es</t>
  </si>
  <si>
    <t>Daily: temperature (max/min/mean), precipitation, wind speed/gust/direction, sunshine hours, pressure</t>
  </si>
  <si>
    <t>Daily from ~1920 (Retiro); live hourly observations only last 24 h</t>
  </si>
  <si>
    <t>Authoritative station records</t>
  </si>
  <si>
    <t>Ayuntamiento de Madrid open data</t>
  </si>
  <si>
    <t>datos.madrid.es</t>
  </si>
  <si>
    <t>Hourly: temperature, humidity, wind speed/direction, pressure, solar radiation, precipitation; plus air pollutants</t>
  </si>
  <si>
    <t>Meteo ~2019–present; air quality ~2001–present</t>
  </si>
  <si>
    <t>Hourly intra-city data + air quality</t>
  </si>
  <si>
    <t>Comunidad de Madrid open data</t>
  </si>
  <si>
    <t>datos.comunidad.madrid</t>
  </si>
  <si>
    <t>Air pollutants plus basic meteo at some stations</t>
  </si>
  <si>
    <t>Varies, mostly 2000s–present</t>
  </si>
  <si>
    <t>Regional stations</t>
  </si>
  <si>
    <t>ECA&amp;D / E-OBS</t>
  </si>
  <si>
    <t>ecad.eu</t>
  </si>
  <si>
    <t>Daily: temperature, precipitation, snow depth, sunshine, cloud cover, humidity, pressure, wind</t>
  </si>
  <si>
    <t>Retiro series from 1890s; E-OBS grid 1950–present</t>
  </si>
  <si>
    <t>Long-term climate trends</t>
  </si>
  <si>
    <t>Copernicus ERA5</t>
  </si>
  <si>
    <t>cds.climate.copernicus.eu</t>
  </si>
  <si>
    <t>Hourly, hundreds of variables: temperature, dewpoint, wind, precipitation, radiation, clouds, soil moisture, etc.</t>
  </si>
  <si>
    <t>1940–present (~5-day lag); ERA5-Land 1950–present</t>
  </si>
  <si>
    <t>Gap-free series, many variables</t>
  </si>
  <si>
    <t>NOAA GHCN-Daily / ISD</t>
  </si>
  <si>
    <t>ncei.noaa.gov</t>
  </si>
  <si>
    <t>GHCN daily: temp max/min, precipitation, snow. ISD hourly: temperature, dewpoint, wind, pressure, visibility, clouds</t>
  </si>
  <si>
    <t>GHCN back to 1890s (Retiro); ISD reliable ~1970s–present</t>
  </si>
  <si>
    <t>Bulk global-format downloads</t>
  </si>
  <si>
    <t>Meteostat / Open-Meteo</t>
  </si>
  <si>
    <t>meteostat.net / open-meteo.com</t>
  </si>
  <si>
    <t>Meteostat: hourly/daily temperature, humidity, precipitation, wind, pressure, sunshine. Open-Meteo: ERA5-based, many variables</t>
  </si>
  <si>
    <t>Meteostat: station-dependent, hourly ~1970s–; Open-Meteo: 1940–present</t>
  </si>
  <si>
    <t>Fast prototyping in Python</t>
  </si>
  <si>
    <t>Kaggle</t>
  </si>
  <si>
    <t>kaggle.com</t>
  </si>
  <si>
    <t>Varies by upload; usually daily weather or hourly air quality</t>
  </si>
  <si>
    <t>Common sets ~1997–2015 (weather), 2001–2018 (air quality)</t>
  </si>
  <si>
    <t>Quick experiments only</t>
  </si>
  <si>
    <t>Notes</t>
  </si>
  <si>
    <t>Rating scale: 1 = poor, 5 = excellent. Ratings are qualitative assessments (blue cells) and can be edited; Total Score updates automatically.</t>
  </si>
  <si>
    <t>Accessibility = ease of access (registration, API, formats). Quality = official QC and reliability. Data Breadth = variables, time span, resolution.</t>
  </si>
  <si>
    <t>Time frames are approximate and vary by station — verify coverage for your specific station before use (Madrid Retiro: AEMET 3195, WMO 08222).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</si>
</sst>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b/>
      <sz val="10"/>
      <name val="Arial"/>
      <charset val="1"/>
    </font>
    <font>
      <i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92D050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6" fillId="0" borderId="0" xfId="0" applyFont="1"/>
    <xf numFmtId="0" fontId="7" fillId="0" borderId="0" xfId="0" applyFont="1"/>
    <xf numFmtId="0" fontId="4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5" sqref="A5"/>
    </sheetView>
  </sheetViews>
  <sheetFormatPr defaultColWidth="8.6328125" defaultRowHeight="14.5" x14ac:dyDescent="0.35"/>
  <cols>
    <col min="1" max="1" width="26" customWidth="1"/>
    <col min="2" max="2" width="24" customWidth="1"/>
    <col min="3" max="3" width="14" customWidth="1"/>
    <col min="4" max="4" width="12" customWidth="1"/>
    <col min="5" max="6" width="14" customWidth="1"/>
    <col min="7" max="7" width="55" customWidth="1"/>
    <col min="8" max="8" width="40" customWidth="1"/>
    <col min="9" max="9" width="28" customWidth="1"/>
  </cols>
  <sheetData>
    <row r="1" spans="1:9" ht="18" x14ac:dyDescent="0.4">
      <c r="A1" s="1" t="s">
        <v>0</v>
      </c>
    </row>
    <row r="3" spans="1:9" ht="31.5" customHeight="1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ht="28" x14ac:dyDescent="0.35">
      <c r="A4" s="3" t="s">
        <v>10</v>
      </c>
      <c r="B4" s="4" t="s">
        <v>11</v>
      </c>
      <c r="C4" s="5">
        <v>3</v>
      </c>
      <c r="D4" s="5">
        <v>5</v>
      </c>
      <c r="E4" s="5">
        <v>3</v>
      </c>
      <c r="F4" s="6">
        <f t="shared" ref="F4:F11" si="0">SUM(C4:E4)</f>
        <v>11</v>
      </c>
      <c r="G4" s="4" t="s">
        <v>12</v>
      </c>
      <c r="H4" s="4" t="s">
        <v>13</v>
      </c>
      <c r="I4" s="4" t="s">
        <v>14</v>
      </c>
    </row>
    <row r="5" spans="1:9" ht="28" x14ac:dyDescent="0.35">
      <c r="A5" s="7" t="s">
        <v>15</v>
      </c>
      <c r="B5" s="13" t="s">
        <v>16</v>
      </c>
      <c r="C5" s="9">
        <v>4</v>
      </c>
      <c r="D5" s="9">
        <v>3</v>
      </c>
      <c r="E5" s="9">
        <v>3</v>
      </c>
      <c r="F5" s="10">
        <f t="shared" si="0"/>
        <v>10</v>
      </c>
      <c r="G5" s="8" t="s">
        <v>17</v>
      </c>
      <c r="H5" s="8" t="s">
        <v>18</v>
      </c>
      <c r="I5" s="8" t="s">
        <v>19</v>
      </c>
    </row>
    <row r="6" spans="1:9" ht="28" x14ac:dyDescent="0.35">
      <c r="A6" s="3" t="s">
        <v>20</v>
      </c>
      <c r="B6" s="4" t="s">
        <v>21</v>
      </c>
      <c r="C6" s="5">
        <v>3</v>
      </c>
      <c r="D6" s="5">
        <v>3</v>
      </c>
      <c r="E6" s="5">
        <v>2</v>
      </c>
      <c r="F6" s="6">
        <f t="shared" si="0"/>
        <v>8</v>
      </c>
      <c r="G6" s="4" t="s">
        <v>22</v>
      </c>
      <c r="H6" s="4" t="s">
        <v>23</v>
      </c>
      <c r="I6" s="4" t="s">
        <v>24</v>
      </c>
    </row>
    <row r="7" spans="1:9" ht="28" x14ac:dyDescent="0.35">
      <c r="A7" s="7" t="s">
        <v>25</v>
      </c>
      <c r="B7" s="8" t="s">
        <v>26</v>
      </c>
      <c r="C7" s="9">
        <v>4</v>
      </c>
      <c r="D7" s="9">
        <v>5</v>
      </c>
      <c r="E7" s="9">
        <v>4</v>
      </c>
      <c r="F7" s="10">
        <f t="shared" si="0"/>
        <v>13</v>
      </c>
      <c r="G7" s="8" t="s">
        <v>27</v>
      </c>
      <c r="H7" s="8" t="s">
        <v>28</v>
      </c>
      <c r="I7" s="8" t="s">
        <v>29</v>
      </c>
    </row>
    <row r="8" spans="1:9" ht="28" x14ac:dyDescent="0.35">
      <c r="A8" s="3" t="s">
        <v>30</v>
      </c>
      <c r="B8" s="4" t="s">
        <v>31</v>
      </c>
      <c r="C8" s="5">
        <v>2</v>
      </c>
      <c r="D8" s="5">
        <v>4</v>
      </c>
      <c r="E8" s="5">
        <v>5</v>
      </c>
      <c r="F8" s="6">
        <f t="shared" si="0"/>
        <v>11</v>
      </c>
      <c r="G8" s="4" t="s">
        <v>32</v>
      </c>
      <c r="H8" s="4" t="s">
        <v>33</v>
      </c>
      <c r="I8" s="4" t="s">
        <v>34</v>
      </c>
    </row>
    <row r="9" spans="1:9" ht="28" x14ac:dyDescent="0.35">
      <c r="A9" s="7" t="s">
        <v>35</v>
      </c>
      <c r="B9" s="8" t="s">
        <v>36</v>
      </c>
      <c r="C9" s="9">
        <v>4</v>
      </c>
      <c r="D9" s="9">
        <v>4</v>
      </c>
      <c r="E9" s="9">
        <v>3</v>
      </c>
      <c r="F9" s="10">
        <f t="shared" si="0"/>
        <v>11</v>
      </c>
      <c r="G9" s="8" t="s">
        <v>37</v>
      </c>
      <c r="H9" s="8" t="s">
        <v>38</v>
      </c>
      <c r="I9" s="8" t="s">
        <v>39</v>
      </c>
    </row>
    <row r="10" spans="1:9" ht="42" x14ac:dyDescent="0.35">
      <c r="A10" s="3" t="s">
        <v>40</v>
      </c>
      <c r="B10" s="4" t="s">
        <v>41</v>
      </c>
      <c r="C10" s="5">
        <v>5</v>
      </c>
      <c r="D10" s="5">
        <v>3</v>
      </c>
      <c r="E10" s="5">
        <v>4</v>
      </c>
      <c r="F10" s="6">
        <f t="shared" si="0"/>
        <v>12</v>
      </c>
      <c r="G10" s="4" t="s">
        <v>42</v>
      </c>
      <c r="H10" s="4" t="s">
        <v>43</v>
      </c>
      <c r="I10" s="4" t="s">
        <v>44</v>
      </c>
    </row>
    <row r="11" spans="1:9" ht="28" x14ac:dyDescent="0.35">
      <c r="A11" s="7" t="s">
        <v>45</v>
      </c>
      <c r="B11" s="8" t="s">
        <v>46</v>
      </c>
      <c r="C11" s="9">
        <v>5</v>
      </c>
      <c r="D11" s="9">
        <v>2</v>
      </c>
      <c r="E11" s="9">
        <v>2</v>
      </c>
      <c r="F11" s="10">
        <f t="shared" si="0"/>
        <v>9</v>
      </c>
      <c r="G11" s="8" t="s">
        <v>47</v>
      </c>
      <c r="H11" s="8" t="s">
        <v>48</v>
      </c>
      <c r="I11" s="8" t="s">
        <v>49</v>
      </c>
    </row>
    <row r="13" spans="1:9" x14ac:dyDescent="0.35">
      <c r="A13" s="11" t="s">
        <v>50</v>
      </c>
    </row>
    <row r="14" spans="1:9" x14ac:dyDescent="0.35">
      <c r="A14" s="12" t="s">
        <v>51</v>
      </c>
    </row>
    <row r="15" spans="1:9" x14ac:dyDescent="0.35">
      <c r="A15" s="12" t="s">
        <v>52</v>
      </c>
    </row>
    <row r="16" spans="1:9" x14ac:dyDescent="0.35">
      <c r="A16" s="12" t="s">
        <v>53</v>
      </c>
    </row>
  </sheetData>
  <conditionalFormatting sqref="C4:E11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57c84fa2-b2bb-403e-b8d4-2e71c559e792}" enabled="1" method="Privileged" siteId="{adf10e2b-b6e9-41d6-be2f-c12bb56601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Madrid Climate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Kupelian, Alexander Sarkis</cp:lastModifiedBy>
  <cp:revision>0</cp:revision>
  <dcterms:created xsi:type="dcterms:W3CDTF">2026-09-28T12:41:42Z</dcterms:created>
  <dcterms:modified xsi:type="dcterms:W3CDTF">2026-10-05T12:33:45Z</dcterms:modified>
  <dc:language>en-US</dc:language>
</cp:coreProperties>
</file>